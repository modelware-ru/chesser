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артии" sheetId="1" state="visible" r:id="rId3"/>
    <sheet name="Как изучать" sheetId="2" state="visible" r:id="rId4"/>
  </sheets>
  <definedNames>
    <definedName function="false" hidden="true" localSheetId="0" name="_xlnm._FilterDatabase" vbProcedure="false">Партии!$A$4:$I$20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<sst xmlns="http://schemas.openxmlformats.org/spreadsheetml/2006/main" count="117" uniqueCount="88">
  <si>
    <t xml:space="preserve">Классические партии для начинающих шахматистов</t>
  </si>
  <si>
    <t xml:space="preserve">Заполняйте жёлтые столбцы: «Статус» (выбор из списка: Не начата / В процессе / Изучена), «Дата изучения» (например, 16.10.2026) и «Заметки».</t>
  </si>
  <si>
    <t xml:space="preserve">№</t>
  </si>
  <si>
    <t xml:space="preserve">Этап</t>
  </si>
  <si>
    <t xml:space="preserve">Партия</t>
  </si>
  <si>
    <t xml:space="preserve">Место</t>
  </si>
  <si>
    <t xml:space="preserve">Год</t>
  </si>
  <si>
    <t xml:space="preserve">Чему учит</t>
  </si>
  <si>
    <t xml:space="preserve">Статус</t>
  </si>
  <si>
    <t xml:space="preserve">Дата изучения</t>
  </si>
  <si>
    <t xml:space="preserve">Заметки</t>
  </si>
  <si>
    <t xml:space="preserve">1. Развитие и атака на короля</t>
  </si>
  <si>
    <t xml:space="preserve">Легаль — Сен-Бри</t>
  </si>
  <si>
    <t xml:space="preserve">Париж</t>
  </si>
  <si>
    <t xml:space="preserve">~1750</t>
  </si>
  <si>
    <t xml:space="preserve">«Мат Легаля»: опасно жадно брать материал при неразвитых фигурах.</t>
  </si>
  <si>
    <t xml:space="preserve">Не начата</t>
  </si>
  <si>
    <t xml:space="preserve">Морфи — герцог Брауншвейгский и граф Изуар («Оперная партия»)</t>
  </si>
  <si>
    <t xml:space="preserve">1858</t>
  </si>
  <si>
    <t xml:space="preserve">Быстрое развитие, открытые линии, наказание за отставание в развитии. Лучшая первая партия.</t>
  </si>
  <si>
    <t xml:space="preserve">Рети — Тартаковер</t>
  </si>
  <si>
    <t xml:space="preserve">Вена</t>
  </si>
  <si>
    <t xml:space="preserve">1910</t>
  </si>
  <si>
    <t xml:space="preserve">Король в центре, жертва ферзя и мат двумя слонами.</t>
  </si>
  <si>
    <t xml:space="preserve">Эд. Ласкер — Томас</t>
  </si>
  <si>
    <t xml:space="preserve">Лондон</t>
  </si>
  <si>
    <t xml:space="preserve">1912</t>
  </si>
  <si>
    <t xml:space="preserve">Охота на короля: жертва ферзя гонит короля через всю доску до мата.</t>
  </si>
  <si>
    <t xml:space="preserve">2. Комбинации и жертвы</t>
  </si>
  <si>
    <t xml:space="preserve">Андерсен — Кизерицкий («Бессмертная партия»)</t>
  </si>
  <si>
    <t xml:space="preserve">1851</t>
  </si>
  <si>
    <t xml:space="preserve">Активность фигур важнее материала.</t>
  </si>
  <si>
    <t xml:space="preserve">Андерсен — Дюфрен («Вечнозелёная партия»)</t>
  </si>
  <si>
    <t xml:space="preserve">Берлин</t>
  </si>
  <si>
    <t xml:space="preserve">1852</t>
  </si>
  <si>
    <t xml:space="preserve">Глубокая комбинация на открытых линиях.</t>
  </si>
  <si>
    <t xml:space="preserve">Стейниц — Барделебен</t>
  </si>
  <si>
    <t xml:space="preserve">Гастингс</t>
  </si>
  <si>
    <t xml:space="preserve">1895</t>
  </si>
  <si>
    <t xml:space="preserve">Атака в центре и красивая серия шахов.</t>
  </si>
  <si>
    <t xml:space="preserve">Ротлеви — Рубинштейн</t>
  </si>
  <si>
    <t xml:space="preserve">Лодзь</t>
  </si>
  <si>
    <t xml:space="preserve">1907</t>
  </si>
  <si>
    <t xml:space="preserve">Сила двух слонов, направленных на короля, и каскад жертв.</t>
  </si>
  <si>
    <t xml:space="preserve">Д. Бирн — Фишер («Партия века»)</t>
  </si>
  <si>
    <t xml:space="preserve">Нью-Йорк</t>
  </si>
  <si>
    <t xml:space="preserve">1956</t>
  </si>
  <si>
    <t xml:space="preserve">Атакующая игра 13-летнего Фишера и знаменитая жертва ферзя.</t>
  </si>
  <si>
    <t xml:space="preserve">3. Позиционная игра</t>
  </si>
  <si>
    <t xml:space="preserve">Нимцович — Земиш («Бессмертная партия цугцванга»)</t>
  </si>
  <si>
    <t xml:space="preserve">Копенгаген</t>
  </si>
  <si>
    <t xml:space="preserve">1923</t>
  </si>
  <si>
    <t xml:space="preserve">Ограничение подвижности фигур соперника до полного цугцванга.</t>
  </si>
  <si>
    <t xml:space="preserve">Фишер — Спасский, матч на первенство мира, 6-я партия</t>
  </si>
  <si>
    <t xml:space="preserve">Рейкьявик</t>
  </si>
  <si>
    <t xml:space="preserve">1972</t>
  </si>
  <si>
    <t xml:space="preserve">Чистая позиционная игра в ферзевом гамбите.</t>
  </si>
  <si>
    <t xml:space="preserve">Карпов — Унцикер</t>
  </si>
  <si>
    <t xml:space="preserve">Ницца (олимпиада)</t>
  </si>
  <si>
    <t xml:space="preserve">1974</t>
  </si>
  <si>
    <t xml:space="preserve">Захват пространства и медленное удушение позиции в испанской партии.</t>
  </si>
  <si>
    <t xml:space="preserve">4. Эндшпиль и реализация</t>
  </si>
  <si>
    <t xml:space="preserve">Капабланка — Тартаковер</t>
  </si>
  <si>
    <t xml:space="preserve">1924</t>
  </si>
  <si>
    <t xml:space="preserve">Ладейный эндшпиль: активный король и активная ладья решают всё.</t>
  </si>
  <si>
    <t xml:space="preserve">Ботвинник — Капабланка</t>
  </si>
  <si>
    <t xml:space="preserve">АВРО, Нидерланды</t>
  </si>
  <si>
    <t xml:space="preserve">1938</t>
  </si>
  <si>
    <t xml:space="preserve">Проходная пешка, поддержанная комбинацией.</t>
  </si>
  <si>
    <t xml:space="preserve">5. Продвинутый уровень</t>
  </si>
  <si>
    <t xml:space="preserve">Каспаров — Топалов</t>
  </si>
  <si>
    <t xml:space="preserve">Вейк-ан-Зее</t>
  </si>
  <si>
    <t xml:space="preserve">1999</t>
  </si>
  <si>
    <t xml:space="preserve">Одна из самых красивых атак в истории.</t>
  </si>
  <si>
    <t xml:space="preserve">Шорт — Тимман</t>
  </si>
  <si>
    <t xml:space="preserve">Тилбург</t>
  </si>
  <si>
    <t xml:space="preserve">1991</t>
  </si>
  <si>
    <t xml:space="preserve">Белый король сам идёт в атаку и ставит мат.</t>
  </si>
  <si>
    <t xml:space="preserve">Всего партий</t>
  </si>
  <si>
    <t xml:space="preserve">Изучено</t>
  </si>
  <si>
    <t xml:space="preserve">В процессе</t>
  </si>
  <si>
    <t xml:space="preserve">Прогресс</t>
  </si>
  <si>
    <t xml:space="preserve">Как изучать партии</t>
  </si>
  <si>
    <t xml:space="preserve">Расставляйте партию на настоящей доске, а не только смотрите на экране.</t>
  </si>
  <si>
    <t xml:space="preserve">Перед каждым ходом победителя пытайтесь угадать его сами, потом сравнивайте.</t>
  </si>
  <si>
    <t xml:space="preserve">Читайте партии с комментариями: «Моя система» (Нимцович), «Мои 60 памятных партий» (Фишер), «Самоучитель шахматной игры» (Майзелис). Все партии есть на lichess.org и chessgames.com.</t>
  </si>
  <si>
    <t xml:space="preserve">Сформулируйте одной фразой, почему проигравший проиграл, и запишите в «Заметки».</t>
  </si>
  <si>
    <t xml:space="preserve">Через неделю разыграйте партию по памяти.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</si>
</sst>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50"/>
    <col collapsed="false" customWidth="true" hidden="false" outlineLevel="0" max="8" min="7" style="0" width="14"/>
    <col collapsed="false" customWidth="true" hidden="false" outlineLevel="0" max="9" min="9" style="0" width="3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3.85" hidden="false" customHeight="false" outlineLevel="0" collapsed="false">
      <c r="A5" s="4" t="n">
        <v>1</v>
      </c>
      <c r="B5" s="5" t="s">
        <v>11</v>
      </c>
      <c r="C5" s="5" t="s">
        <v>12</v>
      </c>
      <c r="D5" s="5" t="s">
        <v>13</v>
      </c>
      <c r="E5" s="4" t="s">
        <v>14</v>
      </c>
      <c r="F5" s="5" t="s">
        <v>15</v>
      </c>
      <c r="G5" s="6" t="s">
        <v>16</v>
      </c>
      <c r="H5" s="7"/>
      <c r="I5" s="8"/>
    </row>
    <row r="6" customFormat="false" ht="23.85" hidden="false" customHeight="false" outlineLevel="0" collapsed="false">
      <c r="A6" s="4" t="n">
        <v>2</v>
      </c>
      <c r="B6" s="5" t="s">
        <v>11</v>
      </c>
      <c r="C6" s="5" t="s">
        <v>17</v>
      </c>
      <c r="D6" s="5" t="s">
        <v>13</v>
      </c>
      <c r="E6" s="4" t="s">
        <v>18</v>
      </c>
      <c r="F6" s="5" t="s">
        <v>19</v>
      </c>
      <c r="G6" s="6" t="s">
        <v>16</v>
      </c>
      <c r="H6" s="7"/>
      <c r="I6" s="8"/>
    </row>
    <row r="7" customFormat="false" ht="15" hidden="false" customHeight="false" outlineLevel="0" collapsed="false">
      <c r="A7" s="4" t="n">
        <v>3</v>
      </c>
      <c r="B7" s="5" t="s">
        <v>11</v>
      </c>
      <c r="C7" s="5" t="s">
        <v>20</v>
      </c>
      <c r="D7" s="5" t="s">
        <v>21</v>
      </c>
      <c r="E7" s="4" t="s">
        <v>22</v>
      </c>
      <c r="F7" s="5" t="s">
        <v>23</v>
      </c>
      <c r="G7" s="6" t="s">
        <v>16</v>
      </c>
      <c r="H7" s="7"/>
      <c r="I7" s="8"/>
    </row>
    <row r="8" customFormat="false" ht="23.85" hidden="false" customHeight="false" outlineLevel="0" collapsed="false">
      <c r="A8" s="4" t="n">
        <v>4</v>
      </c>
      <c r="B8" s="5" t="s">
        <v>11</v>
      </c>
      <c r="C8" s="5" t="s">
        <v>24</v>
      </c>
      <c r="D8" s="5" t="s">
        <v>25</v>
      </c>
      <c r="E8" s="4" t="s">
        <v>26</v>
      </c>
      <c r="F8" s="5" t="s">
        <v>27</v>
      </c>
      <c r="G8" s="6" t="s">
        <v>16</v>
      </c>
      <c r="H8" s="7"/>
      <c r="I8" s="8"/>
    </row>
    <row r="9" customFormat="false" ht="23.85" hidden="false" customHeight="false" outlineLevel="0" collapsed="false">
      <c r="A9" s="4" t="n">
        <v>5</v>
      </c>
      <c r="B9" s="5" t="s">
        <v>28</v>
      </c>
      <c r="C9" s="5" t="s">
        <v>29</v>
      </c>
      <c r="D9" s="5" t="s">
        <v>25</v>
      </c>
      <c r="E9" s="4" t="s">
        <v>30</v>
      </c>
      <c r="F9" s="5" t="s">
        <v>31</v>
      </c>
      <c r="G9" s="6" t="s">
        <v>16</v>
      </c>
      <c r="H9" s="7"/>
      <c r="I9" s="8"/>
    </row>
    <row r="10" customFormat="false" ht="15" hidden="false" customHeight="false" outlineLevel="0" collapsed="false">
      <c r="A10" s="4" t="n">
        <v>6</v>
      </c>
      <c r="B10" s="5" t="s">
        <v>28</v>
      </c>
      <c r="C10" s="5" t="s">
        <v>32</v>
      </c>
      <c r="D10" s="5" t="s">
        <v>33</v>
      </c>
      <c r="E10" s="4" t="s">
        <v>34</v>
      </c>
      <c r="F10" s="5" t="s">
        <v>35</v>
      </c>
      <c r="G10" s="6" t="s">
        <v>16</v>
      </c>
      <c r="H10" s="7"/>
      <c r="I10" s="8"/>
    </row>
    <row r="11" customFormat="false" ht="15" hidden="false" customHeight="false" outlineLevel="0" collapsed="false">
      <c r="A11" s="4" t="n">
        <v>7</v>
      </c>
      <c r="B11" s="5" t="s">
        <v>28</v>
      </c>
      <c r="C11" s="5" t="s">
        <v>36</v>
      </c>
      <c r="D11" s="5" t="s">
        <v>37</v>
      </c>
      <c r="E11" s="4" t="s">
        <v>38</v>
      </c>
      <c r="F11" s="5" t="s">
        <v>39</v>
      </c>
      <c r="G11" s="6" t="s">
        <v>16</v>
      </c>
      <c r="H11" s="7"/>
      <c r="I11" s="8"/>
    </row>
    <row r="12" customFormat="false" ht="23.85" hidden="false" customHeight="false" outlineLevel="0" collapsed="false">
      <c r="A12" s="4" t="n">
        <v>8</v>
      </c>
      <c r="B12" s="5" t="s">
        <v>28</v>
      </c>
      <c r="C12" s="5" t="s">
        <v>40</v>
      </c>
      <c r="D12" s="5" t="s">
        <v>41</v>
      </c>
      <c r="E12" s="4" t="s">
        <v>42</v>
      </c>
      <c r="F12" s="5" t="s">
        <v>43</v>
      </c>
      <c r="G12" s="6" t="s">
        <v>16</v>
      </c>
      <c r="H12" s="7"/>
      <c r="I12" s="8"/>
    </row>
    <row r="13" customFormat="false" ht="23.85" hidden="false" customHeight="false" outlineLevel="0" collapsed="false">
      <c r="A13" s="4" t="n">
        <v>9</v>
      </c>
      <c r="B13" s="5" t="s">
        <v>28</v>
      </c>
      <c r="C13" s="5" t="s">
        <v>44</v>
      </c>
      <c r="D13" s="5" t="s">
        <v>45</v>
      </c>
      <c r="E13" s="4" t="s">
        <v>46</v>
      </c>
      <c r="F13" s="5" t="s">
        <v>47</v>
      </c>
      <c r="G13" s="6" t="s">
        <v>16</v>
      </c>
      <c r="H13" s="7"/>
      <c r="I13" s="8"/>
    </row>
    <row r="14" customFormat="false" ht="23.85" hidden="false" customHeight="false" outlineLevel="0" collapsed="false">
      <c r="A14" s="4" t="n">
        <v>10</v>
      </c>
      <c r="B14" s="5" t="s">
        <v>48</v>
      </c>
      <c r="C14" s="5" t="s">
        <v>49</v>
      </c>
      <c r="D14" s="5" t="s">
        <v>50</v>
      </c>
      <c r="E14" s="4" t="s">
        <v>51</v>
      </c>
      <c r="F14" s="5" t="s">
        <v>52</v>
      </c>
      <c r="G14" s="6" t="s">
        <v>16</v>
      </c>
      <c r="H14" s="7"/>
      <c r="I14" s="8"/>
    </row>
    <row r="15" customFormat="false" ht="23.85" hidden="false" customHeight="false" outlineLevel="0" collapsed="false">
      <c r="A15" s="4" t="n">
        <v>11</v>
      </c>
      <c r="B15" s="5" t="s">
        <v>48</v>
      </c>
      <c r="C15" s="5" t="s">
        <v>53</v>
      </c>
      <c r="D15" s="5" t="s">
        <v>54</v>
      </c>
      <c r="E15" s="4" t="s">
        <v>55</v>
      </c>
      <c r="F15" s="5" t="s">
        <v>56</v>
      </c>
      <c r="G15" s="6" t="s">
        <v>16</v>
      </c>
      <c r="H15" s="7"/>
      <c r="I15" s="8"/>
    </row>
    <row r="16" customFormat="false" ht="23.85" hidden="false" customHeight="false" outlineLevel="0" collapsed="false">
      <c r="A16" s="4" t="n">
        <v>12</v>
      </c>
      <c r="B16" s="5" t="s">
        <v>48</v>
      </c>
      <c r="C16" s="5" t="s">
        <v>57</v>
      </c>
      <c r="D16" s="5" t="s">
        <v>58</v>
      </c>
      <c r="E16" s="4" t="s">
        <v>59</v>
      </c>
      <c r="F16" s="5" t="s">
        <v>60</v>
      </c>
      <c r="G16" s="6" t="s">
        <v>16</v>
      </c>
      <c r="H16" s="7"/>
      <c r="I16" s="8"/>
    </row>
    <row r="17" customFormat="false" ht="23.85" hidden="false" customHeight="false" outlineLevel="0" collapsed="false">
      <c r="A17" s="4" t="n">
        <v>13</v>
      </c>
      <c r="B17" s="5" t="s">
        <v>61</v>
      </c>
      <c r="C17" s="5" t="s">
        <v>62</v>
      </c>
      <c r="D17" s="5" t="s">
        <v>45</v>
      </c>
      <c r="E17" s="4" t="s">
        <v>63</v>
      </c>
      <c r="F17" s="5" t="s">
        <v>64</v>
      </c>
      <c r="G17" s="6" t="s">
        <v>16</v>
      </c>
      <c r="H17" s="7"/>
      <c r="I17" s="8"/>
    </row>
    <row r="18" customFormat="false" ht="15" hidden="false" customHeight="false" outlineLevel="0" collapsed="false">
      <c r="A18" s="4" t="n">
        <v>14</v>
      </c>
      <c r="B18" s="5" t="s">
        <v>61</v>
      </c>
      <c r="C18" s="5" t="s">
        <v>65</v>
      </c>
      <c r="D18" s="5" t="s">
        <v>66</v>
      </c>
      <c r="E18" s="4" t="s">
        <v>67</v>
      </c>
      <c r="F18" s="5" t="s">
        <v>68</v>
      </c>
      <c r="G18" s="6" t="s">
        <v>16</v>
      </c>
      <c r="H18" s="7"/>
      <c r="I18" s="8"/>
    </row>
    <row r="19" customFormat="false" ht="15" hidden="false" customHeight="false" outlineLevel="0" collapsed="false">
      <c r="A19" s="4" t="n">
        <v>15</v>
      </c>
      <c r="B19" s="5" t="s">
        <v>69</v>
      </c>
      <c r="C19" s="5" t="s">
        <v>70</v>
      </c>
      <c r="D19" s="5" t="s">
        <v>71</v>
      </c>
      <c r="E19" s="4" t="s">
        <v>72</v>
      </c>
      <c r="F19" s="5" t="s">
        <v>73</v>
      </c>
      <c r="G19" s="6" t="s">
        <v>16</v>
      </c>
      <c r="H19" s="7"/>
      <c r="I19" s="8"/>
    </row>
    <row r="20" customFormat="false" ht="15" hidden="false" customHeight="false" outlineLevel="0" collapsed="false">
      <c r="A20" s="4" t="n">
        <v>16</v>
      </c>
      <c r="B20" s="5" t="s">
        <v>69</v>
      </c>
      <c r="C20" s="5" t="s">
        <v>74</v>
      </c>
      <c r="D20" s="5" t="s">
        <v>75</v>
      </c>
      <c r="E20" s="4" t="s">
        <v>76</v>
      </c>
      <c r="F20" s="5" t="s">
        <v>77</v>
      </c>
      <c r="G20" s="6" t="s">
        <v>16</v>
      </c>
      <c r="H20" s="7"/>
      <c r="I20" s="8"/>
    </row>
    <row r="22" customFormat="false" ht="15" hidden="false" customHeight="false" outlineLevel="0" collapsed="false">
      <c r="A22" s="9" t="s">
        <v>78</v>
      </c>
      <c r="B22" s="9" t="n">
        <f aca="false">COUNTA(C5:C20)</f>
        <v>16</v>
      </c>
    </row>
    <row r="23" customFormat="false" ht="15" hidden="false" customHeight="false" outlineLevel="0" collapsed="false">
      <c r="A23" s="9" t="s">
        <v>79</v>
      </c>
      <c r="B23" s="9" t="n">
        <f aca="false">COUNTIF(G5:G20,"Изучена")</f>
        <v>0</v>
      </c>
    </row>
    <row r="24" customFormat="false" ht="15" hidden="false" customHeight="false" outlineLevel="0" collapsed="false">
      <c r="A24" s="9" t="s">
        <v>80</v>
      </c>
      <c r="B24" s="9" t="n">
        <f aca="false">COUNTIF(G5:G20,"В процессе")</f>
        <v>0</v>
      </c>
    </row>
    <row r="25" customFormat="false" ht="15" hidden="false" customHeight="false" outlineLevel="0" collapsed="false">
      <c r="A25" s="9" t="s">
        <v>81</v>
      </c>
      <c r="B25" s="10" t="n">
        <f aca="false">IFERROR(B23/B22,0)</f>
        <v>0</v>
      </c>
    </row>
  </sheetData>
  <autoFilter ref="A4:I20"/>
  <conditionalFormatting sqref="G5:G20">
    <cfRule type="cellIs" priority="2" operator="equal" aboveAverage="0" equalAverage="0" bottom="0" percent="0" rank="0" text="" dxfId="4">
      <formula>"Изучена"</formula>
    </cfRule>
    <cfRule type="cellIs" priority="3" operator="equal" aboveAverage="0" equalAverage="0" bottom="0" percent="0" rank="0" text="" dxfId="5">
      <formula>"В процессе"</formula>
    </cfRule>
  </conditionalFormatting>
  <dataValidations count="1">
    <dataValidation allowBlank="true" errorStyle="stop" operator="between" showDropDown="false" showErrorMessage="false" showInputMessage="false" sqref="G5:G20" type="list">
      <formula1>"Не начата,В процессе,Изучена"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82</v>
      </c>
    </row>
    <row r="3" customFormat="false" ht="15" hidden="false" customHeight="false" outlineLevel="0" collapsed="false">
      <c r="A3" s="9" t="n">
        <v>1</v>
      </c>
      <c r="B3" s="11" t="s">
        <v>83</v>
      </c>
    </row>
    <row r="4" customFormat="false" ht="15" hidden="false" customHeight="false" outlineLevel="0" collapsed="false">
      <c r="A4" s="9" t="n">
        <v>2</v>
      </c>
      <c r="B4" s="11" t="s">
        <v>84</v>
      </c>
    </row>
    <row r="5" customFormat="false" ht="26.85" hidden="false" customHeight="false" outlineLevel="0" collapsed="false">
      <c r="A5" s="9" t="n">
        <v>3</v>
      </c>
      <c r="B5" s="11" t="s">
        <v>85</v>
      </c>
    </row>
    <row r="6" customFormat="false" ht="15" hidden="false" customHeight="false" outlineLevel="0" collapsed="false">
      <c r="A6" s="9" t="n">
        <v>4</v>
      </c>
      <c r="B6" s="11" t="s">
        <v>86</v>
      </c>
    </row>
    <row r="7" customFormat="false" ht="15" hidden="false" customHeight="false" outlineLevel="0" collapsed="false">
      <c r="A7" s="9" t="n">
        <v>5</v>
      </c>
      <c r="B7" s="11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2026-10-16T19:09:44Z</dcterms:created>
  <dc:creator>openpyxl</dc:creator>
  <dc:description/>
  <dc:language>en-US</dc:language>
  <cp:lastModifiedBy/>
  <dcterms:modified xsi:type="dcterms:W3CDTF">2026-10-16T19:09:44Z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